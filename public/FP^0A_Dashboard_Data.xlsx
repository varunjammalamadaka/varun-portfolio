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un\Documents\student-portfolio\public\"/>
    </mc:Choice>
  </mc:AlternateContent>
  <xr:revisionPtr revIDLastSave="0" documentId="8_{A3A3165E-6DFE-44D8-B4B8-44548101298A}" xr6:coauthVersionLast="47" xr6:coauthVersionMax="47" xr10:uidLastSave="{00000000-0000-0000-0000-000000000000}"/>
  <bookViews>
    <workbookView xWindow="-108" yWindow="-108" windowWidth="23256" windowHeight="13896" xr2:uid="{763CE4E6-039E-44AE-A30E-12039A103724}"/>
  </bookViews>
  <sheets>
    <sheet name="Monthly Financials" sheetId="1" r:id="rId1"/>
    <sheet name="Product Revenue" sheetId="2" r:id="rId2"/>
    <sheet name="Operating Expen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<sst xmlns="http://schemas.openxmlformats.org/spreadsheetml/2006/main" count="35" uniqueCount="34">
  <si>
    <t>Month</t>
  </si>
  <si>
    <t>Revenue</t>
  </si>
  <si>
    <t>COGS</t>
  </si>
  <si>
    <t>Gross Profit</t>
  </si>
  <si>
    <t>Operating Expenses</t>
  </si>
  <si>
    <t>Operating Income</t>
  </si>
  <si>
    <t>Budget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</si>
  <si>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</si>
  <si>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</si>
  <si>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</si>
  <si>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</si>
  <si>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</si>
  <si>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</si>
  <si>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</si>
  <si>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</si>
  <si>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</si>
  <si>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</si>
  <si>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</si>
  <si>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</si>
  <si>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</t>
  </si>
  <si>
    <t>Product A</t>
  </si>
  <si>
    <t>Product B</t>
  </si>
  <si>
    <t>Product C</t>
  </si>
  <si>
    <t>Product D</t>
  </si>
  <si>
    <t>Services</t>
  </si>
  <si>
    <t>Expense Type</t>
  </si>
  <si>
    <t>Amount</t>
  </si>
  <si>
    <t>Salaries</t>
  </si>
  <si>
    <t>Marketing</t>
  </si>
  <si>
    <t>Technology</t>
  </si>
  <si>
    <t>Rent</t>
  </si>
  <si>
    <t>Insurance</t>
  </si>
  <si>
    <t>Utilities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</si>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</sst>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164" fontId="0" fillId="0" borderId="1" xfId="1" applyNumberFormat="1" applyFont="1" applyBorder="1"/>
    <xf numFmtId="164" fontId="0" fillId="0" borderId="1" xfId="0" applyNumberFormat="1" applyBorder="1"/>
    <xf numFmtId="0" fontId="2" fillId="2" borderId="1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5358-F664-49A8-8E17-E65A847268DB}">
  <dimension ref="A1:G13"/>
  <sheetViews>
    <sheetView tabSelected="1" workbookViewId="0">
      <selection activeCell="F18" sqref="F18"/>
    </sheetView>
  </sheetViews>
  <sheetFormatPr defaultRowHeight="14.4" x14ac:dyDescent="0.3"/>
  <cols>
    <col min="1" max="7" width="15.77734375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3">
        <v>2350000</v>
      </c>
      <c r="C2" s="3">
        <v>1080000</v>
      </c>
      <c r="D2" s="3">
        <f>B2-C2</f>
        <v>1270000</v>
      </c>
      <c r="E2" s="3">
        <v>620000</v>
      </c>
      <c r="F2" s="4">
        <f>D2-E2</f>
        <v>650000</v>
      </c>
      <c r="G2" s="3">
        <v>2300000</v>
      </c>
    </row>
    <row r="3" spans="1:7" x14ac:dyDescent="0.3">
      <c r="A3" s="1" t="s">
        <v>8</v>
      </c>
      <c r="B3" s="3">
        <v>2420000</v>
      </c>
      <c r="C3" s="3">
        <v>1110000</v>
      </c>
      <c r="D3" s="3">
        <f t="shared" ref="D3:D13" si="0">B3-C3</f>
        <v>1310000</v>
      </c>
      <c r="E3" s="3">
        <v>630000</v>
      </c>
      <c r="F3" s="4">
        <f t="shared" ref="F3:F13" si="1">D3-E3</f>
        <v>680000</v>
      </c>
      <c r="G3" s="3">
        <v>2400000</v>
      </c>
    </row>
    <row r="4" spans="1:7" x14ac:dyDescent="0.3">
      <c r="A4" s="1" t="s">
        <v>9</v>
      </c>
      <c r="B4" s="3">
        <v>2510000</v>
      </c>
      <c r="C4" s="3">
        <v>1160000</v>
      </c>
      <c r="D4" s="3">
        <f t="shared" si="0"/>
        <v>1350000</v>
      </c>
      <c r="E4" s="3">
        <v>640000</v>
      </c>
      <c r="F4" s="4">
        <f t="shared" si="1"/>
        <v>710000</v>
      </c>
      <c r="G4" s="3">
        <v>2500000</v>
      </c>
    </row>
    <row r="5" spans="1:7" x14ac:dyDescent="0.3">
      <c r="A5" s="1" t="s">
        <v>10</v>
      </c>
      <c r="B5" s="3">
        <v>2600000</v>
      </c>
      <c r="C5" s="3">
        <v>1190000</v>
      </c>
      <c r="D5" s="3">
        <f t="shared" si="0"/>
        <v>1410000</v>
      </c>
      <c r="E5" s="3">
        <v>655000</v>
      </c>
      <c r="F5" s="4">
        <f t="shared" si="1"/>
        <v>755000</v>
      </c>
      <c r="G5" s="3">
        <v>2550000</v>
      </c>
    </row>
    <row r="6" spans="1:7" x14ac:dyDescent="0.3">
      <c r="A6" s="1" t="s">
        <v>11</v>
      </c>
      <c r="B6" s="3">
        <v>2720000</v>
      </c>
      <c r="C6" s="3">
        <v>1240000</v>
      </c>
      <c r="D6" s="3">
        <f t="shared" si="0"/>
        <v>1480000</v>
      </c>
      <c r="E6" s="3">
        <v>670000</v>
      </c>
      <c r="F6" s="4">
        <f t="shared" si="1"/>
        <v>810000</v>
      </c>
      <c r="G6" s="3">
        <v>2650000</v>
      </c>
    </row>
    <row r="7" spans="1:7" x14ac:dyDescent="0.3">
      <c r="A7" s="1" t="s">
        <v>12</v>
      </c>
      <c r="B7" s="3">
        <v>2810000</v>
      </c>
      <c r="C7" s="3">
        <v>1280000</v>
      </c>
      <c r="D7" s="3">
        <f t="shared" si="0"/>
        <v>1530000</v>
      </c>
      <c r="E7" s="3">
        <v>685000</v>
      </c>
      <c r="F7" s="4">
        <f t="shared" si="1"/>
        <v>845000</v>
      </c>
      <c r="G7" s="3">
        <v>2750000</v>
      </c>
    </row>
    <row r="8" spans="1:7" x14ac:dyDescent="0.3">
      <c r="A8" s="1" t="s">
        <v>13</v>
      </c>
      <c r="B8" s="3">
        <v>2900000</v>
      </c>
      <c r="C8" s="3">
        <v>1320000</v>
      </c>
      <c r="D8" s="3">
        <f t="shared" si="0"/>
        <v>1580000</v>
      </c>
      <c r="E8" s="3">
        <v>700000</v>
      </c>
      <c r="F8" s="4">
        <f t="shared" si="1"/>
        <v>880000</v>
      </c>
      <c r="G8" s="3">
        <v>2850000</v>
      </c>
    </row>
    <row r="9" spans="1:7" x14ac:dyDescent="0.3">
      <c r="A9" s="1" t="s">
        <v>14</v>
      </c>
      <c r="B9" s="3">
        <v>3020000</v>
      </c>
      <c r="C9" s="3">
        <v>1370000</v>
      </c>
      <c r="D9" s="3">
        <f t="shared" si="0"/>
        <v>1650000</v>
      </c>
      <c r="E9" s="3">
        <v>715000</v>
      </c>
      <c r="F9" s="4">
        <f t="shared" si="1"/>
        <v>935000</v>
      </c>
      <c r="G9" s="3">
        <v>2950000</v>
      </c>
    </row>
    <row r="10" spans="1:7" x14ac:dyDescent="0.3">
      <c r="A10" s="1" t="s">
        <v>15</v>
      </c>
      <c r="B10" s="3">
        <v>3080000</v>
      </c>
      <c r="C10" s="3">
        <v>1390000</v>
      </c>
      <c r="D10" s="3">
        <f t="shared" si="0"/>
        <v>1690000</v>
      </c>
      <c r="E10" s="3">
        <v>730000</v>
      </c>
      <c r="F10" s="4">
        <f t="shared" si="1"/>
        <v>960000</v>
      </c>
      <c r="G10" s="3">
        <v>3000000</v>
      </c>
    </row>
    <row r="11" spans="1:7" x14ac:dyDescent="0.3">
      <c r="A11" s="1" t="s">
        <v>16</v>
      </c>
      <c r="B11" s="3">
        <v>3180000</v>
      </c>
      <c r="C11" s="3">
        <v>1430000</v>
      </c>
      <c r="D11" s="3">
        <f t="shared" si="0"/>
        <v>1750000</v>
      </c>
      <c r="E11" s="3">
        <v>745000</v>
      </c>
      <c r="F11" s="4">
        <f t="shared" si="1"/>
        <v>1005000</v>
      </c>
      <c r="G11" s="3">
        <v>3100000</v>
      </c>
    </row>
    <row r="12" spans="1:7" x14ac:dyDescent="0.3">
      <c r="A12" s="1" t="s">
        <v>17</v>
      </c>
      <c r="B12" s="3">
        <v>3260000</v>
      </c>
      <c r="C12" s="3">
        <v>1470000</v>
      </c>
      <c r="D12" s="3">
        <f t="shared" si="0"/>
        <v>1790000</v>
      </c>
      <c r="E12" s="3">
        <v>760000</v>
      </c>
      <c r="F12" s="4">
        <f t="shared" si="1"/>
        <v>1030000</v>
      </c>
      <c r="G12" s="3">
        <v>3200000</v>
      </c>
    </row>
    <row r="13" spans="1:7" x14ac:dyDescent="0.3">
      <c r="A13" s="1" t="s">
        <v>18</v>
      </c>
      <c r="B13" s="3">
        <v>3400000</v>
      </c>
      <c r="C13" s="3">
        <v>1520000</v>
      </c>
      <c r="D13" s="3">
        <f t="shared" si="0"/>
        <v>1880000</v>
      </c>
      <c r="E13" s="3">
        <v>780000</v>
      </c>
      <c r="F13" s="4">
        <f t="shared" si="1"/>
        <v>1100000</v>
      </c>
      <c r="G13" s="3">
        <v>3300000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0B68-B1AD-473E-A4F3-0650D39965C8}">
  <dimension ref="A1:B6"/>
  <sheetViews>
    <sheetView workbookViewId="0">
      <selection activeCell="C23" sqref="C23"/>
    </sheetView>
  </sheetViews>
  <sheetFormatPr defaultRowHeight="14.4" x14ac:dyDescent="0.3"/>
  <cols>
    <col min="1" max="2" width="15.77734375" customWidth="1"/>
  </cols>
  <sheetData>
    <row r="1" spans="1:2" x14ac:dyDescent="0.3">
      <c r="A1" s="5" t="s">
        <v>19</v>
      </c>
      <c r="B1" s="5" t="s">
        <v>1</v>
      </c>
    </row>
    <row r="2" spans="1:2" x14ac:dyDescent="0.3">
      <c r="A2" s="1" t="s">
        <v>20</v>
      </c>
      <c r="B2" s="3">
        <v>8450000</v>
      </c>
    </row>
    <row r="3" spans="1:2" x14ac:dyDescent="0.3">
      <c r="A3" s="1" t="s">
        <v>21</v>
      </c>
      <c r="B3" s="3">
        <v>6980000</v>
      </c>
    </row>
    <row r="4" spans="1:2" x14ac:dyDescent="0.3">
      <c r="A4" s="1" t="s">
        <v>22</v>
      </c>
      <c r="B4" s="3">
        <v>5720000</v>
      </c>
    </row>
    <row r="5" spans="1:2" x14ac:dyDescent="0.3">
      <c r="A5" s="1" t="s">
        <v>23</v>
      </c>
      <c r="B5" s="3">
        <v>4950000</v>
      </c>
    </row>
    <row r="6" spans="1:2" x14ac:dyDescent="0.3">
      <c r="A6" s="1" t="s">
        <v>24</v>
      </c>
      <c r="B6" s="3">
        <v>7740000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3F42-FB9B-4AE7-A9FA-1314A3D4F204}">
  <dimension ref="A1:B8"/>
  <sheetViews>
    <sheetView workbookViewId="0">
      <selection sqref="A1:B1048576"/>
    </sheetView>
  </sheetViews>
  <sheetFormatPr defaultRowHeight="14.4" x14ac:dyDescent="0.3"/>
  <cols>
    <col min="1" max="2" width="15.77734375" customWidth="1"/>
  </cols>
  <sheetData>
    <row r="1" spans="1:2" x14ac:dyDescent="0.3">
      <c r="A1" s="5" t="s">
        <v>25</v>
      </c>
      <c r="B1" s="5" t="s">
        <v>26</v>
      </c>
    </row>
    <row r="2" spans="1:2" x14ac:dyDescent="0.3">
      <c r="A2" s="1" t="s">
        <v>27</v>
      </c>
      <c r="B2" s="3">
        <v>3100000</v>
      </c>
    </row>
    <row r="3" spans="1:2" x14ac:dyDescent="0.3">
      <c r="A3" s="1" t="s">
        <v>28</v>
      </c>
      <c r="B3" s="3">
        <v>1250000</v>
      </c>
    </row>
    <row r="4" spans="1:2" x14ac:dyDescent="0.3">
      <c r="A4" s="1" t="s">
        <v>29</v>
      </c>
      <c r="B4" s="3">
        <v>900000</v>
      </c>
    </row>
    <row r="5" spans="1:2" x14ac:dyDescent="0.3">
      <c r="A5" s="1" t="s">
        <v>30</v>
      </c>
      <c r="B5" s="3">
        <v>620000</v>
      </c>
    </row>
    <row r="6" spans="1:2" x14ac:dyDescent="0.3">
      <c r="A6" s="1" t="s">
        <v>31</v>
      </c>
      <c r="B6" s="3">
        <v>290000</v>
      </c>
    </row>
    <row r="7" spans="1:2" x14ac:dyDescent="0.3">
      <c r="A7" s="1" t="s">
        <v>32</v>
      </c>
      <c r="B7" s="3">
        <v>180000</v>
      </c>
    </row>
    <row r="8" spans="1:2" x14ac:dyDescent="0.3">
      <c r="A8" s="1" t="s">
        <v>33</v>
      </c>
      <c r="B8" s="3">
        <v>410000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Financials</vt:lpstr>
      <vt:lpstr>Product Revenue</vt:lpstr>
      <vt:lpstr>Operating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varun</cp:lastModifiedBy>
  <dcterms:created xsi:type="dcterms:W3CDTF">2026-07-29T16:55:26Z</dcterms:created>
  <dcterms:modified xsi:type="dcterms:W3CDTF">2026-07-29T18:30:56Z</dcterms:modified>
</cp:coreProperties>
</file>