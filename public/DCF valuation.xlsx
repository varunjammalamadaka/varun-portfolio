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varun\Downloads\"/>
    </mc:Choice>
  </mc:AlternateContent>
  <xr:revisionPtr revIDLastSave="0" documentId="8_{A8184771-75D1-45D0-A11B-198709F308AF}" xr6:coauthVersionLast="47" xr6:coauthVersionMax="47" xr10:uidLastSave="{00000000-0000-0000-0000-000000000000}"/>
  <bookViews>
    <workbookView xWindow="-108" yWindow="-108" windowWidth="23256" windowHeight="13896" xr2:uid="{16287448-6C2A-45C9-A604-AE5C715270A4}"/>
  </bookViews>
  <sheets>
    <sheet name="Assumptions" sheetId="1" r:id="rId1"/>
    <sheet name="Forecast" sheetId="2" r:id="rId2"/>
    <sheet name="Discounted Cash Flow Valuation" sheetId="3" r:id="rId3"/>
    <sheet name="Sensitivity Analysis" sheetId="4" r:id="rId4"/>
    <sheet name="Investment Summary" sheetId="5" r:id="rId5"/>
    <sheet name="References" sheetId="6"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4" i="3" l="1"/>
  <c r="C26" i="3" s="1"/>
  <c r="L5" i="3" s="1"/>
  <c r="L7" i="3" s="1"/>
  <c r="L18" i="3" s="1"/>
  <c r="D10" i="4"/>
  <c r="R7" i="3"/>
  <c r="R5" i="3"/>
  <c r="R3" i="3"/>
  <c r="L3" i="3"/>
  <c r="E14" i="3"/>
  <c r="E12" i="3"/>
  <c r="E10" i="3"/>
  <c r="E8" i="3"/>
  <c r="E6" i="3"/>
  <c r="E4" i="3"/>
  <c r="C12" i="3"/>
  <c r="G17" i="2"/>
  <c r="C10" i="3"/>
  <c r="C8" i="3"/>
  <c r="C6" i="3"/>
  <c r="C4" i="3"/>
  <c r="D12" i="3"/>
  <c r="D10" i="3"/>
  <c r="D8" i="3"/>
  <c r="D6" i="3"/>
  <c r="D4" i="3"/>
  <c r="G32" i="1"/>
  <c r="G30" i="1"/>
  <c r="G27" i="1"/>
  <c r="C3" i="2"/>
  <c r="C15" i="2" s="1"/>
  <c r="B9" i="2"/>
  <c r="B17" i="2" s="1"/>
  <c r="C13" i="2" l="1"/>
  <c r="C11" i="2"/>
  <c r="C5" i="2"/>
  <c r="D3" i="2"/>
  <c r="D15" i="2" s="1"/>
  <c r="C7" i="2" l="1"/>
  <c r="C9" i="2" s="1"/>
  <c r="C17" i="2" s="1"/>
  <c r="D5" i="2"/>
  <c r="D11" i="2"/>
  <c r="D13" i="2"/>
  <c r="E3" i="2"/>
  <c r="E15" i="2" s="1"/>
  <c r="D7" i="2" l="1"/>
  <c r="D9" i="2" s="1"/>
  <c r="D17" i="2" s="1"/>
  <c r="E5" i="2"/>
  <c r="E11" i="2"/>
  <c r="E13" i="2"/>
  <c r="F3" i="2"/>
  <c r="F15" i="2" s="1"/>
  <c r="E7" i="2" l="1"/>
  <c r="E9" i="2" s="1"/>
  <c r="E17" i="2" s="1"/>
  <c r="F5" i="2"/>
  <c r="F11" i="2"/>
  <c r="F13" i="2"/>
  <c r="G3" i="2"/>
  <c r="G15" i="2" s="1"/>
  <c r="F7" i="2" l="1"/>
  <c r="F9" i="2" s="1"/>
  <c r="F17" i="2" s="1"/>
  <c r="G5" i="2"/>
  <c r="G11" i="2"/>
  <c r="G13" i="2"/>
  <c r="G7" i="2" l="1"/>
  <c r="G9" i="2" s="1"/>
</calcChain>
</file>

<file path=xl/sharedStrings.xml><?xml version="1.0" encoding="utf-8"?>
<sst xmlns="http://schemas.openxmlformats.org/spreadsheetml/2006/main" count="109" uniqueCount="93">
  <si>
    <t>Assumptions</t>
  </si>
  <si>
    <t>Revenue Growth</t>
  </si>
  <si>
    <t>EBIT Margin</t>
  </si>
  <si>
    <t>Tax Rate</t>
  </si>
  <si>
    <t>CapEX % Revenue</t>
  </si>
  <si>
    <t>Depreciation % Revenue</t>
  </si>
  <si>
    <t>WACC</t>
  </si>
  <si>
    <t>Terminal Growth</t>
  </si>
  <si>
    <t>Value</t>
  </si>
  <si>
    <t>Shares Outstanding</t>
  </si>
  <si>
    <t>Line item</t>
  </si>
  <si>
    <t>2025A</t>
  </si>
  <si>
    <t>2026E</t>
  </si>
  <si>
    <t>2027E</t>
  </si>
  <si>
    <t>2028E</t>
  </si>
  <si>
    <t>2029E</t>
  </si>
  <si>
    <t>2030E</t>
  </si>
  <si>
    <t>Revenue</t>
  </si>
  <si>
    <t>EBIT</t>
  </si>
  <si>
    <t>Taxes</t>
  </si>
  <si>
    <t>NOPAT</t>
  </si>
  <si>
    <t>Depreciation</t>
  </si>
  <si>
    <t>CapEx</t>
  </si>
  <si>
    <t>Change in NWC</t>
  </si>
  <si>
    <t>Free Cash Flow</t>
  </si>
  <si>
    <t>Operating Current Assets = Marketable Securities(18,763)+Accounts Receivable(39,777)+Vendor Receivables(33,180)+Inventory(5,718)+Other Current Assets(14,585) =$ 112,023</t>
  </si>
  <si>
    <t>NWC Calculation(2025)</t>
  </si>
  <si>
    <t>Operating Current Liabilities = 69,860(Accounts Payable)+Other Current Liabilities(66,387)+Deffered Revenue(9,055) = $145,302</t>
  </si>
  <si>
    <t>2025 NWC = -33,279</t>
  </si>
  <si>
    <t>Notes</t>
  </si>
  <si>
    <t>NWC Calculation(2024)</t>
  </si>
  <si>
    <t>Operating Current Assets = 35,228+33,410+32,833+7,286+14,287=123,044</t>
  </si>
  <si>
    <t>Operating Current Liabilities = 68,960 + 78,304 + 8,249 = 155, 513</t>
  </si>
  <si>
    <t>Average</t>
  </si>
  <si>
    <t>Operating NWC(% Revenue)</t>
  </si>
  <si>
    <t>Year</t>
  </si>
  <si>
    <t>FCF</t>
  </si>
  <si>
    <t>Discount Factor</t>
  </si>
  <si>
    <t>Present Value</t>
  </si>
  <si>
    <t>Discounted Cash Flow</t>
  </si>
  <si>
    <t>Terminal Value</t>
  </si>
  <si>
    <t>Final Year FCF</t>
  </si>
  <si>
    <t>Terminal Growth Rate</t>
  </si>
  <si>
    <t>PV of Terminal Value</t>
  </si>
  <si>
    <t>Enterprise Value Calculation</t>
  </si>
  <si>
    <t>PV of Forecast FCF</t>
  </si>
  <si>
    <t>Enterprise Value</t>
  </si>
  <si>
    <t>Equity Value Bridge</t>
  </si>
  <si>
    <t>Equity Value</t>
  </si>
  <si>
    <t>Implied Share Price</t>
  </si>
  <si>
    <t>DCF Implied Share Price</t>
  </si>
  <si>
    <t>PV of Forecast Period</t>
  </si>
  <si>
    <t>Units in millions unless specified otherwise</t>
  </si>
  <si>
    <t>(Enterprise Value + Cash &amp; Investments - debt)</t>
  </si>
  <si>
    <t>Valuation Conclusion</t>
  </si>
  <si>
    <t>Current Share Price</t>
  </si>
  <si>
    <t>Upside/(Downside)</t>
  </si>
  <si>
    <t>Base Case Assumptions</t>
  </si>
  <si>
    <t>DCF Sensitivity Analysis</t>
  </si>
  <si>
    <t>Valuation Interpretation</t>
  </si>
  <si>
    <t>EV/Shares Outstanding = $165.56</t>
  </si>
  <si>
    <t>The Discounted Cash Flow Model(DCF) estimates the value of the stock at around $165.56, based on a 8.5% WACC and 2.5% terminal growth rate. However, in accordance with todays share price of $333.52 there is a -51% downside. This implies that the stock is very overpriced due to 2026's aggressive expansion and structural margin changes.  The valuation is heavily influenced by Apple's ability to generate consistent free cash flow gains, maintain strong operating margins. The EBIT margin of 31.1% and 4.2% revenue growth rate prove Apple's industry leader stance.  In accordance with the heavy gap in the valuation, investors are assigning additional value to Apple based on its ecosystem strength, artificial intelligence stance, and several other key factors like market position.  Apple additonally seems to be heavily reliant on the discount rate and terminal growth assumptions, the implied stock price changing heavily with a lower WACC and higher terminal growth rate.</t>
  </si>
  <si>
    <t>Company Overview</t>
  </si>
  <si>
    <t>Investment Thesis</t>
  </si>
  <si>
    <t>Strengths</t>
  </si>
  <si>
    <t>Strong Free Cash Flow Generation</t>
  </si>
  <si>
    <t>High Profitability</t>
  </si>
  <si>
    <t>Services Growth</t>
  </si>
  <si>
    <t>Capital Return Program</t>
  </si>
  <si>
    <t>Apple consistently produces significant operating cash flow, supporting areas like investments and share repurchases</t>
  </si>
  <si>
    <t>Strong operating margins and ecosystem positioning allow Apple to maintain its high profitability</t>
  </si>
  <si>
    <t>Services segment provides recurring revenue and higher margins compared to hardware products</t>
  </si>
  <si>
    <t>Continued Share Repurchases reduce shares outstanding and support earnings per share growth</t>
  </si>
  <si>
    <t>Risks</t>
  </si>
  <si>
    <t>International Trade</t>
  </si>
  <si>
    <t>A significant portion of their cash flow comes from unstable international trade economies</t>
  </si>
  <si>
    <t>Competition</t>
  </si>
  <si>
    <t>Apple trades in a significantly wide market and failure to stay competitive and innovate could lead to drops in margins</t>
  </si>
  <si>
    <t>Regulatory Risks</t>
  </si>
  <si>
    <t>Similar to international trade, regulations in the app store for certain countries may impact Apple's business model</t>
  </si>
  <si>
    <t>Final Recommendation</t>
  </si>
  <si>
    <t>Based on the DCF analysis, Apple appears to be overvalued in the current market. However, Apple continues to be a very strong pick due to its strong financial position, ability for long-term growth, ecosystem advantages, and positioning in the current market. Investors should consider if its positioning in artificial intelligence, Services, and innovation justifies the heavy market premium it trades under.</t>
  </si>
  <si>
    <t>Apple Inc.(AAPL) is a global technology company that designs, manufactures, and sells consumer electronics, software, and Services. The company's main revenue stream is through iPhones and its Services segment</t>
  </si>
  <si>
    <t>References</t>
  </si>
  <si>
    <t>Apple Inc. Annual Reports(Form 10-K)</t>
  </si>
  <si>
    <t>Apple Inc.(2025) Annual Report(Form 10-K)</t>
  </si>
  <si>
    <t>Apple Investor Relations  - Financial Information</t>
  </si>
  <si>
    <t>Apple Inc. Financial Statements, SEC filings, and investor information</t>
  </si>
  <si>
    <t xml:space="preserve"> </t>
  </si>
  <si>
    <t>U.S. Securities and Exchange Comission(SEC)</t>
  </si>
  <si>
    <t>Apple Inc. Form 10-K filings and company financial disclosures</t>
  </si>
  <si>
    <t>Yahoo Finance</t>
  </si>
  <si>
    <t>Apple Inc.(AAPL) historical and current market price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</si>
</sst>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0.0%"/>
    <numFmt numFmtId="169" formatCode="_(&quot;$&quot;* #,##0_);_(&quot;$&quot;* \(#,##0\);_(&quot;$&quot;* &quot;-&quot;??_);_(@_)"/>
  </numFmts>
  <fonts count="10" x14ac:knownFonts="1">
    <font>
      <sz val="11"/>
      <color theme="1"/>
      <name val="Aptos Narrow"/>
      <family val="2"/>
      <scheme val="minor"/>
    </font>
    <font>
      <sz val="11"/>
      <color theme="1"/>
      <name val="Aptos Narrow"/>
      <family val="2"/>
      <scheme val="minor"/>
    </font>
    <font>
      <sz val="11"/>
      <color theme="1" tint="0.499984740745262"/>
      <name val="Aptos Narrow"/>
      <family val="2"/>
      <scheme val="minor"/>
    </font>
    <font>
      <sz val="11"/>
      <color theme="4"/>
      <name val="Aptos Narrow"/>
      <family val="2"/>
      <scheme val="minor"/>
    </font>
    <font>
      <sz val="18"/>
      <color theme="4"/>
      <name val="Aptos Narrow"/>
      <family val="2"/>
      <scheme val="minor"/>
    </font>
    <font>
      <sz val="20"/>
      <color theme="4"/>
      <name val="Aptos Narrow"/>
      <family val="2"/>
      <scheme val="minor"/>
    </font>
    <font>
      <sz val="12"/>
      <color theme="4"/>
      <name val="Aptos Narrow"/>
      <family val="2"/>
      <scheme val="minor"/>
    </font>
    <font>
      <sz val="14"/>
      <color theme="4"/>
      <name val="Aptos Narrow"/>
      <family val="2"/>
      <scheme val="minor"/>
    </font>
    <font>
      <sz val="16"/>
      <color theme="4"/>
      <name val="Aptos Narrow"/>
      <family val="2"/>
      <scheme val="minor"/>
    </font>
    <font>
      <sz val="26"/>
      <color rgb="FFFF0000"/>
      <name val="Aptos Narrow"/>
      <family val="2"/>
      <scheme val="minor"/>
    </font>
  </fonts>
  <fills count="2">
    <fill>
      <patternFill patternType="none"/>
    </fill>
    <fill>
      <patternFill patternType="gray125"/>
    </fill>
  </fills>
  <borders count="10">
    <border>
      <left/>
      <right/>
      <top/>
      <bottom/>
      <diagonal/>
    </border>
    <border>
      <left/>
      <right/>
      <top style="thin">
        <color indexed="64"/>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63">
    <xf numFmtId="0" fontId="0" fillId="0" borderId="0" xfId="0"/>
    <xf numFmtId="0" fontId="0" fillId="0" borderId="0" xfId="0" applyAlignment="1">
      <alignment horizontal="center"/>
    </xf>
    <xf numFmtId="0" fontId="0" fillId="0" borderId="0" xfId="0" applyAlignment="1"/>
    <xf numFmtId="0" fontId="0" fillId="0" borderId="2" xfId="0" applyBorder="1"/>
    <xf numFmtId="10" fontId="0" fillId="0" borderId="0" xfId="0" applyNumberFormat="1"/>
    <xf numFmtId="0" fontId="3" fillId="0" borderId="0" xfId="0" applyFont="1"/>
    <xf numFmtId="0" fontId="4" fillId="0" borderId="0" xfId="0" applyFont="1" applyAlignment="1">
      <alignment horizontal="center"/>
    </xf>
    <xf numFmtId="0" fontId="5" fillId="0" borderId="0" xfId="0" applyFont="1" applyAlignment="1">
      <alignment horizontal="center"/>
    </xf>
    <xf numFmtId="0" fontId="6" fillId="0" borderId="1" xfId="0" applyFont="1" applyFill="1" applyBorder="1" applyAlignment="1"/>
    <xf numFmtId="0" fontId="3" fillId="0" borderId="1" xfId="0" applyFont="1" applyBorder="1"/>
    <xf numFmtId="164" fontId="3" fillId="0" borderId="1" xfId="0" applyNumberFormat="1" applyFont="1" applyBorder="1"/>
    <xf numFmtId="0" fontId="7" fillId="0" borderId="0" xfId="0" applyFont="1" applyAlignment="1"/>
    <xf numFmtId="164" fontId="3" fillId="0" borderId="0" xfId="0" applyNumberFormat="1" applyFont="1"/>
    <xf numFmtId="0" fontId="8" fillId="0" borderId="0" xfId="0" applyFont="1" applyAlignment="1"/>
    <xf numFmtId="0" fontId="7" fillId="0" borderId="0" xfId="0" applyFont="1" applyAlignment="1">
      <alignment horizontal="center"/>
    </xf>
    <xf numFmtId="0" fontId="4" fillId="0" borderId="0" xfId="0" applyFont="1" applyBorder="1" applyAlignment="1"/>
    <xf numFmtId="0" fontId="3" fillId="0" borderId="0" xfId="0" applyFont="1" applyBorder="1"/>
    <xf numFmtId="164" fontId="3" fillId="0" borderId="0" xfId="0" applyNumberFormat="1" applyFont="1" applyBorder="1"/>
    <xf numFmtId="0" fontId="0" fillId="0" borderId="0" xfId="0" applyAlignment="1">
      <alignment wrapText="1"/>
    </xf>
    <xf numFmtId="0" fontId="2" fillId="0" borderId="3" xfId="0" applyFont="1" applyBorder="1"/>
    <xf numFmtId="0" fontId="0" fillId="0" borderId="3" xfId="0" applyBorder="1"/>
    <xf numFmtId="3" fontId="0" fillId="0" borderId="3" xfId="0" applyNumberFormat="1" applyBorder="1"/>
    <xf numFmtId="0" fontId="0" fillId="0" borderId="3" xfId="0" applyBorder="1" applyAlignment="1">
      <alignment wrapText="1"/>
    </xf>
    <xf numFmtId="1" fontId="0" fillId="0" borderId="3" xfId="0" applyNumberFormat="1" applyBorder="1"/>
    <xf numFmtId="169" fontId="0" fillId="0" borderId="3" xfId="1" applyNumberFormat="1" applyFont="1" applyBorder="1"/>
    <xf numFmtId="169" fontId="0" fillId="0" borderId="3" xfId="0" applyNumberFormat="1" applyBorder="1"/>
    <xf numFmtId="44" fontId="0" fillId="0" borderId="3" xfId="0" applyNumberFormat="1" applyBorder="1"/>
    <xf numFmtId="10" fontId="0" fillId="0" borderId="0" xfId="2" applyNumberFormat="1" applyFont="1"/>
    <xf numFmtId="0" fontId="0" fillId="0" borderId="0" xfId="0" applyBorder="1"/>
    <xf numFmtId="0" fontId="4" fillId="0" borderId="0" xfId="0" applyFont="1" applyBorder="1" applyAlignment="1">
      <alignment horizontal="center"/>
    </xf>
    <xf numFmtId="3" fontId="3" fillId="0" borderId="0" xfId="0" applyNumberFormat="1" applyFont="1" applyBorder="1"/>
    <xf numFmtId="0" fontId="7" fillId="0" borderId="2" xfId="0" applyFont="1" applyBorder="1"/>
    <xf numFmtId="10" fontId="3" fillId="0" borderId="2" xfId="0" applyNumberFormat="1" applyFont="1" applyBorder="1"/>
    <xf numFmtId="169" fontId="0" fillId="0" borderId="3" xfId="0" applyNumberFormat="1" applyBorder="1" applyAlignment="1">
      <alignment horizontal="right"/>
    </xf>
    <xf numFmtId="1" fontId="0" fillId="0" borderId="0" xfId="0" applyNumberFormat="1"/>
    <xf numFmtId="6" fontId="0" fillId="0" borderId="3" xfId="0" applyNumberFormat="1" applyBorder="1"/>
    <xf numFmtId="164" fontId="0" fillId="0" borderId="3" xfId="0" applyNumberFormat="1" applyBorder="1"/>
    <xf numFmtId="44" fontId="0" fillId="0" borderId="3" xfId="1" applyFont="1" applyBorder="1" applyAlignment="1">
      <alignment horizontal="center"/>
    </xf>
    <xf numFmtId="6" fontId="0" fillId="0" borderId="3" xfId="0" applyNumberFormat="1" applyBorder="1" applyAlignment="1">
      <alignment horizontal="center"/>
    </xf>
    <xf numFmtId="0" fontId="0" fillId="0" borderId="3" xfId="0" applyBorder="1" applyAlignment="1">
      <alignment horizontal="center"/>
    </xf>
    <xf numFmtId="8" fontId="0" fillId="0" borderId="3" xfId="0" applyNumberFormat="1" applyBorder="1"/>
    <xf numFmtId="9" fontId="0" fillId="0" borderId="3" xfId="0" applyNumberFormat="1" applyBorder="1"/>
    <xf numFmtId="0" fontId="0" fillId="0" borderId="5" xfId="0" applyBorder="1" applyAlignment="1">
      <alignment horizontal="center"/>
    </xf>
    <xf numFmtId="0" fontId="0" fillId="0" borderId="6" xfId="0" applyBorder="1"/>
    <xf numFmtId="0" fontId="0" fillId="0" borderId="6" xfId="0" applyBorder="1" applyAlignment="1">
      <alignment horizontal="center"/>
    </xf>
    <xf numFmtId="0" fontId="0" fillId="0" borderId="4" xfId="0"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0" borderId="3" xfId="0" applyBorder="1" applyAlignment="1"/>
    <xf numFmtId="9" fontId="0" fillId="0" borderId="3" xfId="2" applyFont="1" applyBorder="1"/>
    <xf numFmtId="0" fontId="0" fillId="0" borderId="0" xfId="0" applyAlignment="1">
      <alignment horizontal="center" wrapText="1"/>
    </xf>
    <xf numFmtId="0" fontId="0" fillId="0" borderId="0" xfId="0" applyAlignment="1">
      <alignment horizontal="center" wrapText="1"/>
    </xf>
    <xf numFmtId="0" fontId="0" fillId="0" borderId="3"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8" xfId="0" applyBorder="1" applyAlignment="1">
      <alignment horizontal="center" wrapText="1"/>
    </xf>
    <xf numFmtId="0" fontId="0" fillId="0" borderId="4" xfId="0" applyBorder="1" applyAlignment="1"/>
    <xf numFmtId="0" fontId="0" fillId="0" borderId="2" xfId="0" applyBorder="1" applyAlignment="1"/>
    <xf numFmtId="0" fontId="0" fillId="0" borderId="0" xfId="0" applyBorder="1" applyAlignment="1"/>
    <xf numFmtId="0" fontId="0" fillId="0" borderId="7" xfId="0" applyBorder="1" applyAlignment="1"/>
    <xf numFmtId="0" fontId="0" fillId="0" borderId="6" xfId="0" applyBorder="1" applyAlignment="1">
      <alignment wrapText="1"/>
    </xf>
    <xf numFmtId="0" fontId="0" fillId="0" borderId="9" xfId="0" applyBorder="1" applyAlignment="1"/>
    <xf numFmtId="0" fontId="9" fillId="0" borderId="0" xfId="0" applyFont="1"/>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CE4983-17BF-4DE9-9FF1-D68A28299003}">
  <sheetPr>
    <pageSetUpPr fitToPage="1"/>
  </sheetPr>
  <dimension ref="E3:W34"/>
  <sheetViews>
    <sheetView showGridLines="0" tabSelected="1" topLeftCell="A7" zoomScaleNormal="100" workbookViewId="0">
      <selection activeCell="M35" sqref="M35"/>
    </sheetView>
  </sheetViews>
  <sheetFormatPr defaultRowHeight="14.4" x14ac:dyDescent="0.3"/>
  <sheetData>
    <row r="3" spans="5:13" ht="23.4" x14ac:dyDescent="0.45">
      <c r="E3" s="5"/>
      <c r="F3" s="5"/>
      <c r="G3" s="5"/>
      <c r="H3" s="6" t="s">
        <v>0</v>
      </c>
      <c r="I3" s="6"/>
      <c r="J3" s="6"/>
      <c r="K3" s="5"/>
      <c r="L3" s="5"/>
      <c r="M3" s="5"/>
    </row>
    <row r="4" spans="5:13" ht="25.8" x14ac:dyDescent="0.5">
      <c r="E4" s="5"/>
      <c r="F4" s="5"/>
      <c r="G4" s="5"/>
      <c r="H4" s="7"/>
      <c r="I4" s="7"/>
      <c r="J4" s="7"/>
      <c r="K4" s="5"/>
      <c r="L4" s="5"/>
      <c r="M4" s="5" t="s">
        <v>8</v>
      </c>
    </row>
    <row r="5" spans="5:13" ht="15.6" x14ac:dyDescent="0.3">
      <c r="E5" s="5"/>
      <c r="F5" s="5"/>
      <c r="G5" s="8" t="s">
        <v>1</v>
      </c>
      <c r="H5" s="8"/>
      <c r="I5" s="9"/>
      <c r="J5" s="9"/>
      <c r="K5" s="9"/>
      <c r="L5" s="9"/>
      <c r="M5" s="10">
        <v>4.2000000000000003E-2</v>
      </c>
    </row>
    <row r="6" spans="5:13" ht="18" x14ac:dyDescent="0.35">
      <c r="E6" s="5"/>
      <c r="F6" s="5"/>
      <c r="G6" s="11" t="s">
        <v>2</v>
      </c>
      <c r="H6" s="11"/>
      <c r="I6" s="5"/>
      <c r="J6" s="5"/>
      <c r="K6" s="5"/>
      <c r="L6" s="5"/>
      <c r="M6" s="12">
        <v>0.311</v>
      </c>
    </row>
    <row r="7" spans="5:13" ht="21" x14ac:dyDescent="0.4">
      <c r="E7" s="5"/>
      <c r="F7" s="5"/>
      <c r="G7" s="13" t="s">
        <v>3</v>
      </c>
      <c r="H7" s="13"/>
      <c r="I7" s="5"/>
      <c r="J7" s="5"/>
      <c r="K7" s="5"/>
      <c r="L7" s="5"/>
      <c r="M7" s="12">
        <v>0.18099999999999999</v>
      </c>
    </row>
    <row r="8" spans="5:13" ht="18" x14ac:dyDescent="0.35">
      <c r="E8" s="14" t="s">
        <v>4</v>
      </c>
      <c r="F8" s="14"/>
      <c r="G8" s="14"/>
      <c r="H8" s="14"/>
      <c r="I8" s="14"/>
      <c r="J8" s="14"/>
      <c r="K8" s="5"/>
      <c r="L8" s="5"/>
      <c r="M8" s="12">
        <v>2.8000000000000001E-2</v>
      </c>
    </row>
    <row r="9" spans="5:13" ht="18" x14ac:dyDescent="0.35">
      <c r="E9" s="5"/>
      <c r="F9" s="14" t="s">
        <v>5</v>
      </c>
      <c r="G9" s="14"/>
      <c r="H9" s="14"/>
      <c r="I9" s="14"/>
      <c r="J9" s="14"/>
      <c r="K9" s="5"/>
      <c r="L9" s="5"/>
      <c r="M9" s="12">
        <v>2.9000000000000001E-2</v>
      </c>
    </row>
    <row r="10" spans="5:13" ht="21" x14ac:dyDescent="0.4">
      <c r="E10" s="5"/>
      <c r="F10" s="5"/>
      <c r="G10" s="13" t="s">
        <v>6</v>
      </c>
      <c r="H10" s="13"/>
      <c r="I10" s="13"/>
      <c r="J10" s="5"/>
      <c r="K10" s="5"/>
      <c r="L10" s="5"/>
      <c r="M10" s="12">
        <v>8.5000000000000006E-2</v>
      </c>
    </row>
    <row r="11" spans="5:13" ht="23.4" x14ac:dyDescent="0.45">
      <c r="E11" s="5"/>
      <c r="F11" s="5"/>
      <c r="G11" s="15" t="s">
        <v>7</v>
      </c>
      <c r="H11" s="15"/>
      <c r="I11" s="15"/>
      <c r="J11" s="15"/>
      <c r="K11" s="16"/>
      <c r="L11" s="16"/>
      <c r="M11" s="17">
        <v>2.5000000000000001E-2</v>
      </c>
    </row>
    <row r="12" spans="5:13" ht="23.4" x14ac:dyDescent="0.45">
      <c r="G12" s="28"/>
      <c r="H12" s="29" t="s">
        <v>9</v>
      </c>
      <c r="I12" s="28"/>
      <c r="J12" s="28"/>
      <c r="K12" s="28"/>
      <c r="L12" s="28"/>
      <c r="M12" s="30">
        <v>14900</v>
      </c>
    </row>
    <row r="13" spans="5:13" ht="18" x14ac:dyDescent="0.35">
      <c r="G13" s="31" t="s">
        <v>34</v>
      </c>
      <c r="H13" s="31"/>
      <c r="I13" s="31"/>
      <c r="J13" s="3"/>
      <c r="K13" s="3"/>
      <c r="L13" s="3"/>
      <c r="M13" s="32">
        <v>-8.1000000000000003E-2</v>
      </c>
    </row>
    <row r="19" spans="7:23" x14ac:dyDescent="0.3">
      <c r="G19" t="s">
        <v>29</v>
      </c>
    </row>
    <row r="20" spans="7:23" x14ac:dyDescent="0.3">
      <c r="G20" s="1" t="s">
        <v>26</v>
      </c>
      <c r="H20" s="1"/>
      <c r="I20" s="1"/>
    </row>
    <row r="21" spans="7:23" x14ac:dyDescent="0.3">
      <c r="G21" s="2" t="s">
        <v>25</v>
      </c>
      <c r="H21" s="2"/>
      <c r="I21" s="2"/>
      <c r="J21" s="2"/>
      <c r="K21" s="2"/>
      <c r="L21" s="2"/>
      <c r="M21" s="2"/>
      <c r="N21" s="2"/>
      <c r="O21" s="2"/>
      <c r="P21" s="2"/>
      <c r="Q21" s="2"/>
      <c r="R21" s="2"/>
      <c r="S21" s="2"/>
      <c r="T21" s="2"/>
      <c r="U21" s="2"/>
      <c r="V21" s="2"/>
      <c r="W21" s="2"/>
    </row>
    <row r="22" spans="7:23" x14ac:dyDescent="0.3">
      <c r="G22" s="1" t="s">
        <v>27</v>
      </c>
      <c r="H22" s="1"/>
      <c r="I22" s="1"/>
      <c r="J22" s="1"/>
      <c r="K22" s="1"/>
      <c r="L22" s="1"/>
      <c r="M22" s="1"/>
      <c r="N22" s="1"/>
      <c r="O22" s="1"/>
      <c r="P22" s="1"/>
      <c r="Q22" s="1"/>
      <c r="R22" s="1"/>
      <c r="S22" s="2"/>
      <c r="T22" s="2"/>
      <c r="U22" s="2"/>
      <c r="V22" s="2"/>
      <c r="W22" s="2"/>
    </row>
    <row r="23" spans="7:23" x14ac:dyDescent="0.3">
      <c r="G23" t="s">
        <v>28</v>
      </c>
    </row>
    <row r="24" spans="7:23" x14ac:dyDescent="0.3">
      <c r="G24" t="s">
        <v>30</v>
      </c>
    </row>
    <row r="25" spans="7:23" x14ac:dyDescent="0.3">
      <c r="G25" t="s">
        <v>31</v>
      </c>
    </row>
    <row r="26" spans="7:23" x14ac:dyDescent="0.3">
      <c r="G26" t="s">
        <v>32</v>
      </c>
    </row>
    <row r="27" spans="7:23" x14ac:dyDescent="0.3">
      <c r="G27">
        <f>123044-155513</f>
        <v>-32469</v>
      </c>
    </row>
    <row r="29" spans="7:23" x14ac:dyDescent="0.3">
      <c r="G29">
        <v>2024</v>
      </c>
      <c r="I29" t="s">
        <v>33</v>
      </c>
    </row>
    <row r="30" spans="7:23" x14ac:dyDescent="0.3">
      <c r="G30" s="27">
        <f>-32469/391035</f>
        <v>-8.3033488050941726E-2</v>
      </c>
      <c r="I30" s="4">
        <v>-8.1500000000000003E-2</v>
      </c>
    </row>
    <row r="31" spans="7:23" x14ac:dyDescent="0.3">
      <c r="G31">
        <v>2025</v>
      </c>
    </row>
    <row r="32" spans="7:23" x14ac:dyDescent="0.3">
      <c r="G32" s="27">
        <f>33279/416161</f>
        <v>7.9966647523434436E-2</v>
      </c>
    </row>
    <row r="34" spans="7:10" x14ac:dyDescent="0.3">
      <c r="G34" s="1" t="s">
        <v>52</v>
      </c>
      <c r="H34" s="1"/>
      <c r="I34" s="1"/>
      <c r="J34" s="1"/>
    </row>
  </sheetData>
  <mergeCells count="7">
    <mergeCell ref="G20:I20"/>
    <mergeCell ref="G22:R22"/>
    <mergeCell ref="G34:J34"/>
    <mergeCell ref="F9:J9"/>
    <mergeCell ref="E8:J8"/>
    <mergeCell ref="H3:J3"/>
    <mergeCell ref="H4:J4"/>
  </mergeCells>
  <pageMargins left="0.7" right="0.7" top="0.75" bottom="0.75" header="0.3" footer="0.3"/>
  <pageSetup scale="46"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B4C19-271C-4863-8F84-BDE40960AE5B}">
  <sheetPr>
    <pageSetUpPr fitToPage="1"/>
  </sheetPr>
  <dimension ref="A1:G17"/>
  <sheetViews>
    <sheetView showGridLines="0" workbookViewId="0">
      <selection activeCell="A33" sqref="A33"/>
    </sheetView>
  </sheetViews>
  <sheetFormatPr defaultRowHeight="14.4" x14ac:dyDescent="0.3"/>
  <cols>
    <col min="1" max="1" width="25.77734375" customWidth="1"/>
    <col min="2" max="7" width="15.77734375" customWidth="1"/>
  </cols>
  <sheetData>
    <row r="1" spans="1:7" x14ac:dyDescent="0.3">
      <c r="A1" s="19" t="s">
        <v>10</v>
      </c>
      <c r="B1" s="19" t="s">
        <v>11</v>
      </c>
      <c r="C1" s="19" t="s">
        <v>12</v>
      </c>
      <c r="D1" s="19" t="s">
        <v>13</v>
      </c>
      <c r="E1" s="19" t="s">
        <v>14</v>
      </c>
      <c r="F1" s="19" t="s">
        <v>15</v>
      </c>
      <c r="G1" s="19" t="s">
        <v>16</v>
      </c>
    </row>
    <row r="2" spans="1:7" x14ac:dyDescent="0.3">
      <c r="A2" s="20"/>
      <c r="B2" s="20"/>
      <c r="C2" s="20"/>
      <c r="D2" s="20"/>
      <c r="E2" s="20"/>
      <c r="F2" s="20"/>
      <c r="G2" s="20"/>
    </row>
    <row r="3" spans="1:7" x14ac:dyDescent="0.3">
      <c r="A3" s="20" t="s">
        <v>17</v>
      </c>
      <c r="B3" s="24">
        <v>416161</v>
      </c>
      <c r="C3" s="24">
        <f>B3*(1+Assumptions!$M$5)</f>
        <v>433639.76199999999</v>
      </c>
      <c r="D3" s="24">
        <f>C3*(1+Assumptions!$M$5)</f>
        <v>451852.63200400001</v>
      </c>
      <c r="E3" s="24">
        <f>D3*(1+Assumptions!$M$5)</f>
        <v>470830.44254816801</v>
      </c>
      <c r="F3" s="24">
        <f>E3*(1+Assumptions!$M$5)</f>
        <v>490605.32113519107</v>
      </c>
      <c r="G3" s="24">
        <f>F3*(1+Assumptions!$M$5)</f>
        <v>511210.74462286913</v>
      </c>
    </row>
    <row r="4" spans="1:7" x14ac:dyDescent="0.3">
      <c r="A4" s="20"/>
      <c r="B4" s="20"/>
      <c r="C4" s="20"/>
      <c r="D4" s="20"/>
      <c r="E4" s="20"/>
      <c r="F4" s="20"/>
      <c r="G4" s="20"/>
    </row>
    <row r="5" spans="1:7" x14ac:dyDescent="0.3">
      <c r="A5" s="20" t="s">
        <v>18</v>
      </c>
      <c r="B5" s="24">
        <v>133050</v>
      </c>
      <c r="C5" s="24">
        <f>C3*Assumptions!$M$6</f>
        <v>134861.96598199999</v>
      </c>
      <c r="D5" s="24">
        <f>D3*Assumptions!$M$6</f>
        <v>140526.168553244</v>
      </c>
      <c r="E5" s="24">
        <f>E3*Assumptions!$M$6</f>
        <v>146428.26763248025</v>
      </c>
      <c r="F5" s="24">
        <f>F3*Assumptions!$M$6</f>
        <v>152578.25487304441</v>
      </c>
      <c r="G5" s="24">
        <f>G3*Assumptions!$M$6</f>
        <v>158986.54157771228</v>
      </c>
    </row>
    <row r="6" spans="1:7" x14ac:dyDescent="0.3">
      <c r="A6" s="20"/>
      <c r="B6" s="20"/>
      <c r="C6" s="20"/>
      <c r="D6" s="20"/>
      <c r="E6" s="20"/>
      <c r="F6" s="20"/>
      <c r="G6" s="20"/>
    </row>
    <row r="7" spans="1:7" x14ac:dyDescent="0.3">
      <c r="A7" s="20" t="s">
        <v>19</v>
      </c>
      <c r="B7" s="24">
        <v>20719</v>
      </c>
      <c r="C7" s="24">
        <f>C5*Assumptions!$M$7</f>
        <v>24410.015842741999</v>
      </c>
      <c r="D7" s="24">
        <f>D5*Assumptions!$M$7</f>
        <v>25435.236508137164</v>
      </c>
      <c r="E7" s="24">
        <f>E5*Assumptions!$M$7</f>
        <v>26503.516441478925</v>
      </c>
      <c r="F7" s="24">
        <f>F5*Assumptions!$M$7</f>
        <v>27616.664132021036</v>
      </c>
      <c r="G7" s="24">
        <f>G5*Assumptions!$M$7</f>
        <v>28776.564025565924</v>
      </c>
    </row>
    <row r="8" spans="1:7" x14ac:dyDescent="0.3">
      <c r="A8" s="20"/>
      <c r="B8" s="20"/>
      <c r="C8" s="20"/>
      <c r="D8" s="20"/>
      <c r="E8" s="20"/>
      <c r="F8" s="20"/>
      <c r="G8" s="20"/>
    </row>
    <row r="9" spans="1:7" ht="15.6" customHeight="1" x14ac:dyDescent="0.3">
      <c r="A9" s="20" t="s">
        <v>20</v>
      </c>
      <c r="B9" s="24">
        <f>(B5-B7)</f>
        <v>112331</v>
      </c>
      <c r="C9" s="24">
        <f>C5-C7</f>
        <v>110451.950139258</v>
      </c>
      <c r="D9" s="24">
        <f t="shared" ref="D9:G9" si="0">D5-D7</f>
        <v>115090.93204510683</v>
      </c>
      <c r="E9" s="24">
        <f t="shared" si="0"/>
        <v>119924.75119100133</v>
      </c>
      <c r="F9" s="24">
        <f t="shared" si="0"/>
        <v>124961.59074102338</v>
      </c>
      <c r="G9" s="24">
        <f t="shared" si="0"/>
        <v>130209.97755214636</v>
      </c>
    </row>
    <row r="10" spans="1:7" ht="15.6" customHeight="1" x14ac:dyDescent="0.3">
      <c r="A10" s="20"/>
      <c r="B10" s="20"/>
      <c r="C10" s="20"/>
      <c r="D10" s="20"/>
      <c r="E10" s="20"/>
      <c r="F10" s="20"/>
      <c r="G10" s="20"/>
    </row>
    <row r="11" spans="1:7" x14ac:dyDescent="0.3">
      <c r="A11" s="22" t="s">
        <v>21</v>
      </c>
      <c r="B11" s="24">
        <v>11698</v>
      </c>
      <c r="C11" s="25">
        <f>C3*Assumptions!$M$9</f>
        <v>12575.553098</v>
      </c>
      <c r="D11" s="25">
        <f>D3*Assumptions!$M$9</f>
        <v>13103.726328116001</v>
      </c>
      <c r="E11" s="25">
        <f>E3*Assumptions!$M$9</f>
        <v>13654.082833896873</v>
      </c>
      <c r="F11" s="25">
        <f>F3*Assumptions!$M$9</f>
        <v>14227.554312920542</v>
      </c>
      <c r="G11" s="25">
        <f>G3*Assumptions!$M$9</f>
        <v>14825.111594063206</v>
      </c>
    </row>
    <row r="12" spans="1:7" x14ac:dyDescent="0.3">
      <c r="A12" s="22"/>
      <c r="B12" s="20"/>
      <c r="C12" s="20"/>
      <c r="D12" s="20"/>
      <c r="E12" s="20"/>
      <c r="F12" s="20"/>
      <c r="G12" s="20"/>
    </row>
    <row r="13" spans="1:7" x14ac:dyDescent="0.3">
      <c r="A13" s="20" t="s">
        <v>22</v>
      </c>
      <c r="B13" s="24">
        <v>12715</v>
      </c>
      <c r="C13" s="26">
        <f>C3*Assumptions!$M$8</f>
        <v>12141.913336</v>
      </c>
      <c r="D13" s="26">
        <f>D3*Assumptions!$M$8</f>
        <v>12651.873696112001</v>
      </c>
      <c r="E13" s="26">
        <f>E3*Assumptions!$M$8</f>
        <v>13183.252391348704</v>
      </c>
      <c r="F13" s="26">
        <f>F3*Assumptions!$M$8</f>
        <v>13736.94899178535</v>
      </c>
      <c r="G13" s="26">
        <f>G3*Assumptions!$M$8</f>
        <v>14313.900849440335</v>
      </c>
    </row>
    <row r="14" spans="1:7" x14ac:dyDescent="0.3">
      <c r="A14" s="20"/>
      <c r="B14" s="20"/>
      <c r="C14" s="20"/>
      <c r="D14" s="20"/>
      <c r="E14" s="20"/>
      <c r="F14" s="20"/>
      <c r="G14" s="20"/>
    </row>
    <row r="15" spans="1:7" x14ac:dyDescent="0.3">
      <c r="A15" s="22" t="s">
        <v>23</v>
      </c>
      <c r="B15" s="25">
        <v>0</v>
      </c>
      <c r="C15" s="25">
        <f>(C3*Assumptions!$M$13)-(B3*Assumptions!$M$13)</f>
        <v>-1415.7797219999993</v>
      </c>
      <c r="D15" s="25">
        <f>(D3*Assumptions!$M$13)-(C3*Assumptions!$M$13)</f>
        <v>-1475.2424703240031</v>
      </c>
      <c r="E15" s="25">
        <f>(E3*Assumptions!$M$13)-(D3*Assumptions!$M$13)</f>
        <v>-1537.2026540776133</v>
      </c>
      <c r="F15" s="25">
        <f>(F3*Assumptions!$M$13)-(E3*Assumptions!$M$13)</f>
        <v>-1601.7651655488662</v>
      </c>
      <c r="G15" s="25">
        <f>(G3*Assumptions!$M$13)-(F3*Assumptions!$M$13)</f>
        <v>-1669.0393025019221</v>
      </c>
    </row>
    <row r="16" spans="1:7" x14ac:dyDescent="0.3">
      <c r="A16" s="22"/>
      <c r="B16" s="20"/>
      <c r="C16" s="20"/>
      <c r="D16" s="20"/>
      <c r="E16" s="20"/>
      <c r="F16" s="20"/>
      <c r="G16" s="20"/>
    </row>
    <row r="17" spans="1:7" x14ac:dyDescent="0.3">
      <c r="A17" s="22" t="s">
        <v>24</v>
      </c>
      <c r="B17" s="33">
        <f>B9+B11-B13-B15</f>
        <v>111314</v>
      </c>
      <c r="C17" s="33">
        <f t="shared" ref="C17:G17" si="1">C9+C11-C13-C15</f>
        <v>112301.36962325801</v>
      </c>
      <c r="D17" s="33">
        <f t="shared" si="1"/>
        <v>117018.02714743483</v>
      </c>
      <c r="E17" s="33">
        <f t="shared" si="1"/>
        <v>121932.78428762712</v>
      </c>
      <c r="F17" s="33">
        <f t="shared" si="1"/>
        <v>127053.96122770742</v>
      </c>
      <c r="G17" s="33">
        <f t="shared" si="1"/>
        <v>132390.22759927114</v>
      </c>
    </row>
  </sheetData>
  <pageMargins left="0.7" right="0.7" top="0.75" bottom="0.75" header="0.3" footer="0.3"/>
  <pageSetup scale="7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A99B4F-B710-4103-AE4B-EB312AF44E7C}">
  <sheetPr>
    <pageSetUpPr fitToPage="1"/>
  </sheetPr>
  <dimension ref="A1:U26"/>
  <sheetViews>
    <sheetView showGridLines="0" workbookViewId="0">
      <selection activeCell="H3" sqref="H3"/>
    </sheetView>
  </sheetViews>
  <sheetFormatPr defaultRowHeight="14.4" x14ac:dyDescent="0.3"/>
  <cols>
    <col min="3" max="3" width="13.88671875" bestFit="1" customWidth="1"/>
    <col min="12" max="12" width="13.88671875" bestFit="1" customWidth="1"/>
    <col min="18" max="18" width="11.21875" bestFit="1" customWidth="1"/>
  </cols>
  <sheetData>
    <row r="1" spans="1:21" x14ac:dyDescent="0.3">
      <c r="A1" s="20"/>
      <c r="B1" s="48" t="s">
        <v>39</v>
      </c>
      <c r="C1" s="56"/>
      <c r="D1" s="57"/>
      <c r="E1" s="61"/>
      <c r="J1" s="56" t="s">
        <v>44</v>
      </c>
      <c r="K1" s="59"/>
      <c r="L1" s="48"/>
      <c r="M1" s="58"/>
      <c r="Q1" s="48" t="s">
        <v>49</v>
      </c>
      <c r="R1" s="48"/>
      <c r="S1" s="58"/>
      <c r="T1" s="58"/>
      <c r="U1" s="58"/>
    </row>
    <row r="2" spans="1:21" ht="28.8" x14ac:dyDescent="0.3">
      <c r="A2" s="20" t="s">
        <v>35</v>
      </c>
      <c r="B2" s="20"/>
      <c r="C2" s="43" t="s">
        <v>36</v>
      </c>
      <c r="D2" s="60" t="s">
        <v>37</v>
      </c>
      <c r="E2" s="60" t="s">
        <v>38</v>
      </c>
    </row>
    <row r="3" spans="1:21" ht="43.2" x14ac:dyDescent="0.3">
      <c r="A3" s="20"/>
      <c r="B3" s="20"/>
      <c r="C3" s="20"/>
      <c r="D3" s="22"/>
      <c r="E3" s="22"/>
      <c r="J3" s="22" t="s">
        <v>45</v>
      </c>
      <c r="K3" s="20"/>
      <c r="L3" s="24">
        <f>E14</f>
        <v>478091.6986563236</v>
      </c>
      <c r="Q3" s="22" t="s">
        <v>48</v>
      </c>
      <c r="R3" s="25">
        <f>L20</f>
        <v>2466855</v>
      </c>
    </row>
    <row r="4" spans="1:21" x14ac:dyDescent="0.3">
      <c r="A4" s="20" t="s">
        <v>12</v>
      </c>
      <c r="B4" s="20"/>
      <c r="C4" s="23">
        <f>Forecast!C17</f>
        <v>112301.36962325801</v>
      </c>
      <c r="D4" s="20">
        <f>1/(1+Assumptions!M10)^1</f>
        <v>0.92165898617511521</v>
      </c>
      <c r="E4" s="23">
        <f>C4*D4</f>
        <v>103503.56647304886</v>
      </c>
      <c r="J4" s="20"/>
      <c r="K4" s="20"/>
      <c r="L4" s="20"/>
      <c r="Q4" s="20"/>
      <c r="R4" s="20"/>
    </row>
    <row r="5" spans="1:21" ht="43.2" x14ac:dyDescent="0.3">
      <c r="A5" s="20"/>
      <c r="B5" s="20"/>
      <c r="C5" s="20"/>
      <c r="D5" s="20"/>
      <c r="E5" s="20"/>
      <c r="J5" s="22" t="s">
        <v>43</v>
      </c>
      <c r="K5" s="20"/>
      <c r="L5" s="35">
        <f>C26</f>
        <v>1504110.8804472487</v>
      </c>
      <c r="Q5" s="22" t="s">
        <v>9</v>
      </c>
      <c r="R5" s="21">
        <f>Assumptions!M12</f>
        <v>14900</v>
      </c>
    </row>
    <row r="6" spans="1:21" x14ac:dyDescent="0.3">
      <c r="A6" s="20" t="s">
        <v>13</v>
      </c>
      <c r="B6" s="20"/>
      <c r="C6" s="23">
        <f>Forecast!D17</f>
        <v>117018.02714743483</v>
      </c>
      <c r="D6" s="20">
        <f>1/(1+Assumptions!M10)^2</f>
        <v>0.84945528679734128</v>
      </c>
      <c r="E6" s="23">
        <f>C6*D6</f>
        <v>99401.58181098332</v>
      </c>
      <c r="J6" s="20"/>
      <c r="K6" s="20"/>
      <c r="L6" s="20"/>
      <c r="Q6" s="20"/>
      <c r="R6" s="20"/>
    </row>
    <row r="7" spans="1:21" ht="57.6" x14ac:dyDescent="0.3">
      <c r="A7" s="20"/>
      <c r="B7" s="20"/>
      <c r="C7" s="20"/>
      <c r="D7" s="20"/>
      <c r="E7" s="20"/>
      <c r="J7" s="22" t="s">
        <v>46</v>
      </c>
      <c r="K7" s="20"/>
      <c r="L7" s="25">
        <f>L3+L5</f>
        <v>1982202.5791035723</v>
      </c>
      <c r="Q7" s="22" t="s">
        <v>50</v>
      </c>
      <c r="R7" s="26">
        <f>R3/R5</f>
        <v>165.56073825503356</v>
      </c>
    </row>
    <row r="8" spans="1:21" x14ac:dyDescent="0.3">
      <c r="A8" s="20" t="s">
        <v>14</v>
      </c>
      <c r="B8" s="20"/>
      <c r="C8" s="23">
        <f>Forecast!E17</f>
        <v>121932.78428762712</v>
      </c>
      <c r="D8" s="20">
        <f>1/(1+Assumptions!M10)^3</f>
        <v>0.78290809843072917</v>
      </c>
      <c r="E8" s="23">
        <f>C8*D8</f>
        <v>95462.164282990445</v>
      </c>
    </row>
    <row r="9" spans="1:21" x14ac:dyDescent="0.3">
      <c r="A9" s="20"/>
      <c r="B9" s="20"/>
      <c r="C9" s="20"/>
      <c r="D9" s="20"/>
      <c r="E9" s="20"/>
    </row>
    <row r="10" spans="1:21" x14ac:dyDescent="0.3">
      <c r="A10" s="20" t="s">
        <v>15</v>
      </c>
      <c r="B10" s="20"/>
      <c r="C10" s="20">
        <f>Forecast!F17</f>
        <v>127053.96122770742</v>
      </c>
      <c r="D10" s="20">
        <f>1/(1+Assumptions!M10)^4</f>
        <v>0.72157428426795334</v>
      </c>
      <c r="E10" s="23">
        <f>C10*D10</f>
        <v>91678.871136291273</v>
      </c>
    </row>
    <row r="11" spans="1:21" x14ac:dyDescent="0.3">
      <c r="A11" s="20"/>
      <c r="B11" s="20"/>
      <c r="C11" s="20"/>
      <c r="D11" s="20"/>
      <c r="E11" s="20"/>
    </row>
    <row r="12" spans="1:21" x14ac:dyDescent="0.3">
      <c r="A12" s="20" t="s">
        <v>16</v>
      </c>
      <c r="B12" s="20"/>
      <c r="C12" s="23">
        <f>Forecast!G17</f>
        <v>132390.22759927114</v>
      </c>
      <c r="D12" s="20">
        <f>1/(1+Assumptions!M10)^5</f>
        <v>0.66504542328843619</v>
      </c>
      <c r="E12" s="23">
        <f>C12*D12</f>
        <v>88045.514953009682</v>
      </c>
    </row>
    <row r="14" spans="1:21" x14ac:dyDescent="0.3">
      <c r="B14" s="1" t="s">
        <v>51</v>
      </c>
      <c r="C14" s="1"/>
      <c r="D14" s="1"/>
      <c r="E14" s="34">
        <f>SUM(E4:E12)</f>
        <v>478091.6986563236</v>
      </c>
      <c r="J14" s="1"/>
      <c r="K14" s="1"/>
      <c r="L14" s="1"/>
      <c r="M14" s="1"/>
      <c r="N14" s="1"/>
    </row>
    <row r="16" spans="1:21" x14ac:dyDescent="0.3">
      <c r="A16" s="39" t="s">
        <v>40</v>
      </c>
      <c r="B16" s="39"/>
      <c r="C16" s="39"/>
      <c r="D16" s="58"/>
      <c r="J16" s="1" t="s">
        <v>47</v>
      </c>
      <c r="K16" s="1"/>
      <c r="L16" s="1"/>
      <c r="M16" s="1"/>
      <c r="N16" s="1"/>
    </row>
    <row r="18" spans="1:12" ht="28.8" x14ac:dyDescent="0.3">
      <c r="A18" s="22" t="s">
        <v>41</v>
      </c>
      <c r="B18" s="20"/>
      <c r="C18" s="35">
        <v>172129</v>
      </c>
      <c r="D18" s="28"/>
      <c r="E18" s="28"/>
      <c r="F18" s="28"/>
      <c r="J18" s="22" t="s">
        <v>46</v>
      </c>
      <c r="K18" s="20"/>
      <c r="L18" s="25">
        <f>L7</f>
        <v>1982202.5791035723</v>
      </c>
    </row>
    <row r="19" spans="1:12" x14ac:dyDescent="0.3">
      <c r="A19" s="20"/>
      <c r="B19" s="20"/>
      <c r="C19" s="20"/>
      <c r="D19" s="28"/>
      <c r="E19" s="28"/>
      <c r="F19" s="28"/>
      <c r="J19" s="20"/>
      <c r="K19" s="20"/>
      <c r="L19" s="20"/>
    </row>
    <row r="20" spans="1:12" ht="43.2" x14ac:dyDescent="0.3">
      <c r="A20" s="22" t="s">
        <v>42</v>
      </c>
      <c r="B20" s="20"/>
      <c r="C20" s="36">
        <v>2.5000000000000001E-2</v>
      </c>
      <c r="D20" s="28"/>
      <c r="E20" s="28"/>
      <c r="F20" s="28"/>
      <c r="J20" s="20" t="s">
        <v>48</v>
      </c>
      <c r="K20" s="20"/>
      <c r="L20" s="24">
        <v>2466855</v>
      </c>
    </row>
    <row r="21" spans="1:12" x14ac:dyDescent="0.3">
      <c r="A21" s="20"/>
      <c r="B21" s="20"/>
      <c r="C21" s="20"/>
      <c r="D21" s="28"/>
      <c r="E21" s="28"/>
      <c r="F21" s="28"/>
      <c r="L21" t="s">
        <v>53</v>
      </c>
    </row>
    <row r="22" spans="1:12" x14ac:dyDescent="0.3">
      <c r="A22" s="20" t="s">
        <v>6</v>
      </c>
      <c r="B22" s="20"/>
      <c r="C22" s="36">
        <v>8.5000000000000006E-2</v>
      </c>
      <c r="D22" s="28"/>
      <c r="E22" s="28"/>
      <c r="F22" s="28"/>
    </row>
    <row r="23" spans="1:12" x14ac:dyDescent="0.3">
      <c r="A23" s="20"/>
      <c r="B23" s="20"/>
      <c r="C23" s="20"/>
      <c r="D23" s="28"/>
      <c r="E23" s="28"/>
      <c r="F23" s="28"/>
    </row>
    <row r="24" spans="1:12" ht="28.8" x14ac:dyDescent="0.3">
      <c r="A24" s="22" t="s">
        <v>40</v>
      </c>
      <c r="B24" s="20"/>
      <c r="C24" s="37">
        <f>(Forecast!G17*(1+'Discounted Cash Flow Valuation'!C20))/('Discounted Cash Flow Valuation'!C22-'Discounted Cash Flow Valuation'!C20)</f>
        <v>2261666.3881542152</v>
      </c>
      <c r="D24" s="28"/>
      <c r="E24" s="28"/>
      <c r="F24" s="28"/>
    </row>
    <row r="25" spans="1:12" x14ac:dyDescent="0.3">
      <c r="A25" s="20"/>
      <c r="B25" s="20"/>
      <c r="C25" s="20"/>
      <c r="D25" s="28"/>
      <c r="E25" s="28"/>
      <c r="F25" s="28"/>
    </row>
    <row r="26" spans="1:12" ht="43.2" x14ac:dyDescent="0.3">
      <c r="A26" s="22" t="s">
        <v>43</v>
      </c>
      <c r="B26" s="20"/>
      <c r="C26" s="38">
        <f>C24/(1+C22)^5</f>
        <v>1504110.8804472487</v>
      </c>
      <c r="D26" s="28"/>
      <c r="E26" s="28"/>
      <c r="F26" s="28"/>
    </row>
  </sheetData>
  <mergeCells count="4">
    <mergeCell ref="A16:C16"/>
    <mergeCell ref="B14:D14"/>
    <mergeCell ref="J14:N14"/>
    <mergeCell ref="J16:N16"/>
  </mergeCells>
  <pageMargins left="0.7" right="0.7" top="0.75" bottom="0.75" header="0.3" footer="0.3"/>
  <pageSetup scale="52"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C5C0E-CB7C-4E39-AC0E-40865F8E4B44}">
  <sheetPr>
    <pageSetUpPr fitToPage="1"/>
  </sheetPr>
  <dimension ref="A1:P19"/>
  <sheetViews>
    <sheetView showGridLines="0" workbookViewId="0">
      <selection activeCell="K13" sqref="K13"/>
    </sheetView>
  </sheetViews>
  <sheetFormatPr defaultRowHeight="14.4" x14ac:dyDescent="0.3"/>
  <sheetData>
    <row r="1" spans="1:16" x14ac:dyDescent="0.3">
      <c r="A1" s="39" t="s">
        <v>57</v>
      </c>
      <c r="B1" s="39"/>
      <c r="C1" s="39"/>
    </row>
    <row r="2" spans="1:16" x14ac:dyDescent="0.3">
      <c r="A2" s="20" t="s">
        <v>6</v>
      </c>
      <c r="B2" s="36">
        <v>8.5000000000000006E-2</v>
      </c>
      <c r="C2" s="20"/>
    </row>
    <row r="3" spans="1:16" ht="28.8" x14ac:dyDescent="0.3">
      <c r="A3" s="22" t="s">
        <v>7</v>
      </c>
      <c r="B3" s="36">
        <v>2.5000000000000001E-2</v>
      </c>
      <c r="C3" s="20"/>
    </row>
    <row r="5" spans="1:16" x14ac:dyDescent="0.3">
      <c r="A5" s="39" t="s">
        <v>54</v>
      </c>
      <c r="B5" s="39"/>
      <c r="C5" s="39"/>
      <c r="D5" s="39"/>
      <c r="E5" s="2"/>
      <c r="K5" s="39" t="s">
        <v>59</v>
      </c>
      <c r="L5" s="39"/>
      <c r="M5" s="39"/>
      <c r="N5" s="39"/>
      <c r="O5" s="39"/>
    </row>
    <row r="6" spans="1:16" ht="57.6" x14ac:dyDescent="0.3">
      <c r="A6" s="22" t="s">
        <v>50</v>
      </c>
      <c r="B6" s="20"/>
      <c r="C6" s="20"/>
      <c r="D6" s="40">
        <v>165.56</v>
      </c>
      <c r="K6" s="52" t="s">
        <v>61</v>
      </c>
      <c r="L6" s="52"/>
      <c r="M6" s="52"/>
      <c r="N6" s="52"/>
      <c r="O6" s="52"/>
      <c r="P6" s="18"/>
    </row>
    <row r="7" spans="1:16" x14ac:dyDescent="0.3">
      <c r="A7" s="22"/>
      <c r="B7" s="20"/>
      <c r="C7" s="20"/>
      <c r="D7" s="20"/>
    </row>
    <row r="8" spans="1:16" ht="43.2" x14ac:dyDescent="0.3">
      <c r="A8" s="22" t="s">
        <v>55</v>
      </c>
      <c r="B8" s="20"/>
      <c r="C8" s="20"/>
      <c r="D8" s="40">
        <v>335.52</v>
      </c>
    </row>
    <row r="9" spans="1:16" x14ac:dyDescent="0.3">
      <c r="A9" s="22"/>
      <c r="B9" s="20"/>
      <c r="C9" s="20"/>
      <c r="D9" s="20"/>
    </row>
    <row r="10" spans="1:16" ht="43.2" x14ac:dyDescent="0.3">
      <c r="A10" s="22" t="s">
        <v>56</v>
      </c>
      <c r="B10" s="20"/>
      <c r="C10" s="20"/>
      <c r="D10" s="49">
        <f>(D6-D8)/D8</f>
        <v>-0.50655698617072009</v>
      </c>
    </row>
    <row r="12" spans="1:16" x14ac:dyDescent="0.3">
      <c r="A12" s="45" t="s">
        <v>58</v>
      </c>
      <c r="B12" s="46"/>
      <c r="C12" s="46"/>
      <c r="D12" s="47"/>
    </row>
    <row r="14" spans="1:16" x14ac:dyDescent="0.3">
      <c r="A14" s="45" t="s">
        <v>60</v>
      </c>
      <c r="B14" s="46"/>
      <c r="C14" s="46"/>
      <c r="D14" s="47"/>
    </row>
    <row r="15" spans="1:16" x14ac:dyDescent="0.3">
      <c r="A15" s="43"/>
      <c r="B15" s="45" t="s">
        <v>7</v>
      </c>
      <c r="C15" s="46"/>
      <c r="D15" s="47"/>
      <c r="E15" s="28"/>
      <c r="F15" s="28"/>
    </row>
    <row r="16" spans="1:16" x14ac:dyDescent="0.3">
      <c r="A16" s="20" t="s">
        <v>6</v>
      </c>
      <c r="B16" s="41">
        <v>0.02</v>
      </c>
      <c r="C16" s="36">
        <v>2.5000000000000001E-2</v>
      </c>
      <c r="D16" s="41">
        <v>0.03</v>
      </c>
      <c r="E16" s="28"/>
      <c r="F16" s="28"/>
    </row>
    <row r="17" spans="1:6" x14ac:dyDescent="0.3">
      <c r="A17" s="36">
        <v>7.4999999999999997E-2</v>
      </c>
      <c r="B17" s="40">
        <v>149.13</v>
      </c>
      <c r="C17" s="40">
        <v>161.22999999999999</v>
      </c>
      <c r="D17" s="40">
        <v>176.01</v>
      </c>
      <c r="E17" s="28"/>
      <c r="F17" s="28"/>
    </row>
    <row r="18" spans="1:6" x14ac:dyDescent="0.3">
      <c r="A18" s="36">
        <v>8.5000000000000006E-2</v>
      </c>
      <c r="B18" s="40">
        <v>127.08</v>
      </c>
      <c r="C18" s="40">
        <v>165.56</v>
      </c>
      <c r="D18" s="40">
        <v>144.88</v>
      </c>
      <c r="E18" s="28"/>
      <c r="F18" s="28"/>
    </row>
    <row r="19" spans="1:6" x14ac:dyDescent="0.3">
      <c r="A19" s="36">
        <v>9.5000000000000001E-2</v>
      </c>
      <c r="B19" s="40">
        <v>111.11</v>
      </c>
      <c r="C19" s="40">
        <v>117</v>
      </c>
      <c r="D19" s="40">
        <v>123.79</v>
      </c>
      <c r="E19" s="28"/>
      <c r="F19" s="28"/>
    </row>
  </sheetData>
  <mergeCells count="7">
    <mergeCell ref="B15:D15"/>
    <mergeCell ref="A14:D14"/>
    <mergeCell ref="A12:D12"/>
    <mergeCell ref="A5:D5"/>
    <mergeCell ref="K6:O6"/>
    <mergeCell ref="K5:O5"/>
    <mergeCell ref="A1:C1"/>
  </mergeCells>
  <pageMargins left="0.7" right="0.7" top="0.75" bottom="0.75" header="0.3" footer="0.3"/>
  <pageSetup scale="67"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68092A-DB7E-4008-995B-FF6B3543E324}">
  <sheetPr>
    <pageSetUpPr fitToPage="1"/>
  </sheetPr>
  <dimension ref="A1:R27"/>
  <sheetViews>
    <sheetView zoomScaleNormal="100" workbookViewId="0">
      <selection activeCell="F3" sqref="F3"/>
    </sheetView>
  </sheetViews>
  <sheetFormatPr defaultRowHeight="14.4" x14ac:dyDescent="0.3"/>
  <cols>
    <col min="1" max="1" width="15.77734375" customWidth="1"/>
    <col min="10" max="10" width="15.77734375" customWidth="1"/>
  </cols>
  <sheetData>
    <row r="1" spans="1:18" x14ac:dyDescent="0.3">
      <c r="A1" s="39" t="s">
        <v>62</v>
      </c>
      <c r="B1" s="39"/>
      <c r="C1" s="39"/>
      <c r="D1" s="39"/>
      <c r="I1" s="1" t="s">
        <v>80</v>
      </c>
      <c r="J1" s="1"/>
      <c r="K1" s="1"/>
      <c r="L1" s="1"/>
      <c r="M1" s="1"/>
    </row>
    <row r="2" spans="1:18" x14ac:dyDescent="0.3">
      <c r="A2" s="52" t="s">
        <v>82</v>
      </c>
      <c r="B2" s="52"/>
      <c r="C2" s="52"/>
      <c r="D2" s="52"/>
    </row>
    <row r="3" spans="1:18" x14ac:dyDescent="0.3">
      <c r="A3" s="52"/>
      <c r="B3" s="52"/>
      <c r="C3" s="52"/>
      <c r="D3" s="52"/>
      <c r="J3" s="51" t="s">
        <v>81</v>
      </c>
      <c r="K3" s="51"/>
      <c r="L3" s="51"/>
      <c r="M3" s="51"/>
      <c r="N3" s="51"/>
      <c r="O3" s="51"/>
      <c r="P3" s="51"/>
      <c r="Q3" s="51"/>
      <c r="R3" s="51"/>
    </row>
    <row r="4" spans="1:18" x14ac:dyDescent="0.3">
      <c r="A4" s="52"/>
      <c r="B4" s="52"/>
      <c r="C4" s="52"/>
      <c r="D4" s="52"/>
      <c r="J4" s="51"/>
      <c r="K4" s="51"/>
      <c r="L4" s="51"/>
      <c r="M4" s="51"/>
      <c r="N4" s="51"/>
      <c r="O4" s="51"/>
      <c r="P4" s="51"/>
      <c r="Q4" s="51"/>
      <c r="R4" s="51"/>
    </row>
    <row r="5" spans="1:18" x14ac:dyDescent="0.3">
      <c r="J5" s="51"/>
      <c r="K5" s="51"/>
      <c r="L5" s="51"/>
      <c r="M5" s="51"/>
      <c r="N5" s="51"/>
      <c r="O5" s="51"/>
      <c r="P5" s="51"/>
      <c r="Q5" s="51"/>
      <c r="R5" s="51"/>
    </row>
    <row r="6" spans="1:18" x14ac:dyDescent="0.3">
      <c r="A6" s="39" t="s">
        <v>63</v>
      </c>
      <c r="B6" s="39"/>
      <c r="C6" s="39"/>
      <c r="D6" s="39"/>
      <c r="E6" s="39"/>
      <c r="F6" s="39"/>
      <c r="J6" s="51"/>
      <c r="K6" s="51"/>
      <c r="L6" s="51"/>
      <c r="M6" s="51"/>
      <c r="N6" s="51"/>
      <c r="O6" s="51"/>
      <c r="P6" s="51"/>
      <c r="Q6" s="51"/>
      <c r="R6" s="51"/>
    </row>
    <row r="7" spans="1:18" x14ac:dyDescent="0.3">
      <c r="A7" s="39" t="s">
        <v>64</v>
      </c>
      <c r="B7" s="39"/>
      <c r="C7" s="39"/>
      <c r="D7" s="39"/>
      <c r="E7" s="39"/>
      <c r="F7" s="39"/>
      <c r="J7" s="51"/>
      <c r="K7" s="51"/>
      <c r="L7" s="51"/>
      <c r="M7" s="51"/>
      <c r="N7" s="51"/>
      <c r="O7" s="51"/>
      <c r="P7" s="51"/>
      <c r="Q7" s="51"/>
      <c r="R7" s="51"/>
    </row>
    <row r="8" spans="1:18" ht="28.8" x14ac:dyDescent="0.3">
      <c r="A8" s="22" t="s">
        <v>65</v>
      </c>
      <c r="B8" s="52" t="s">
        <v>69</v>
      </c>
      <c r="C8" s="52"/>
      <c r="D8" s="52"/>
      <c r="E8" s="52"/>
      <c r="F8" s="52"/>
    </row>
    <row r="9" spans="1:18" x14ac:dyDescent="0.3">
      <c r="A9" s="18"/>
      <c r="B9" s="18"/>
      <c r="C9" s="18"/>
      <c r="D9" s="18"/>
    </row>
    <row r="10" spans="1:18" x14ac:dyDescent="0.3">
      <c r="A10" s="53" t="s">
        <v>66</v>
      </c>
      <c r="B10" s="52" t="s">
        <v>70</v>
      </c>
      <c r="C10" s="52"/>
      <c r="D10" s="52"/>
      <c r="E10" s="52"/>
      <c r="F10" s="52"/>
    </row>
    <row r="11" spans="1:18" x14ac:dyDescent="0.3">
      <c r="A11" s="54"/>
      <c r="B11" s="52"/>
      <c r="C11" s="52"/>
      <c r="D11" s="52"/>
      <c r="E11" s="52"/>
      <c r="F11" s="52"/>
    </row>
    <row r="12" spans="1:18" x14ac:dyDescent="0.3">
      <c r="A12" s="18"/>
      <c r="B12" s="50"/>
      <c r="C12" s="50"/>
      <c r="D12" s="50"/>
      <c r="E12" s="50"/>
      <c r="F12" s="50"/>
    </row>
    <row r="13" spans="1:18" x14ac:dyDescent="0.3">
      <c r="A13" s="52" t="s">
        <v>67</v>
      </c>
      <c r="B13" s="52" t="s">
        <v>71</v>
      </c>
      <c r="C13" s="52"/>
      <c r="D13" s="52"/>
      <c r="E13" s="52"/>
      <c r="F13" s="52"/>
    </row>
    <row r="14" spans="1:18" x14ac:dyDescent="0.3">
      <c r="A14" s="52"/>
      <c r="B14" s="52"/>
      <c r="C14" s="52"/>
      <c r="D14" s="52"/>
      <c r="E14" s="52"/>
      <c r="F14" s="52"/>
    </row>
    <row r="15" spans="1:18" x14ac:dyDescent="0.3">
      <c r="A15" s="18"/>
      <c r="B15" s="50"/>
      <c r="C15" s="50"/>
      <c r="D15" s="50"/>
      <c r="E15" s="50"/>
      <c r="F15" s="50"/>
    </row>
    <row r="16" spans="1:18" ht="28.8" x14ac:dyDescent="0.3">
      <c r="A16" s="22" t="s">
        <v>68</v>
      </c>
      <c r="B16" s="52" t="s">
        <v>72</v>
      </c>
      <c r="C16" s="52"/>
      <c r="D16" s="52"/>
      <c r="E16" s="52"/>
      <c r="F16" s="52"/>
    </row>
    <row r="18" spans="1:6" x14ac:dyDescent="0.3">
      <c r="A18" s="39" t="s">
        <v>73</v>
      </c>
      <c r="B18" s="39"/>
      <c r="C18" s="39"/>
      <c r="D18" s="39"/>
      <c r="E18" s="39"/>
      <c r="F18" s="20"/>
    </row>
    <row r="20" spans="1:6" x14ac:dyDescent="0.3">
      <c r="A20" s="39" t="s">
        <v>74</v>
      </c>
      <c r="B20" s="55" t="s">
        <v>75</v>
      </c>
      <c r="C20" s="52"/>
      <c r="D20" s="52"/>
      <c r="E20" s="52"/>
      <c r="F20" s="52"/>
    </row>
    <row r="21" spans="1:6" x14ac:dyDescent="0.3">
      <c r="A21" s="39"/>
      <c r="B21" s="55"/>
      <c r="C21" s="52"/>
      <c r="D21" s="52"/>
      <c r="E21" s="52"/>
      <c r="F21" s="52"/>
    </row>
    <row r="23" spans="1:6" x14ac:dyDescent="0.3">
      <c r="A23" s="42" t="s">
        <v>76</v>
      </c>
      <c r="B23" s="52" t="s">
        <v>77</v>
      </c>
      <c r="C23" s="52"/>
      <c r="D23" s="52"/>
      <c r="E23" s="52"/>
      <c r="F23" s="52"/>
    </row>
    <row r="24" spans="1:6" x14ac:dyDescent="0.3">
      <c r="A24" s="44"/>
      <c r="B24" s="52"/>
      <c r="C24" s="52"/>
      <c r="D24" s="52"/>
      <c r="E24" s="52"/>
      <c r="F24" s="52"/>
    </row>
    <row r="26" spans="1:6" x14ac:dyDescent="0.3">
      <c r="A26" s="39" t="s">
        <v>78</v>
      </c>
      <c r="B26" s="52" t="s">
        <v>79</v>
      </c>
      <c r="C26" s="52"/>
      <c r="D26" s="52"/>
      <c r="E26" s="52"/>
      <c r="F26" s="52"/>
    </row>
    <row r="27" spans="1:6" x14ac:dyDescent="0.3">
      <c r="A27" s="39"/>
      <c r="B27" s="52"/>
      <c r="C27" s="52"/>
      <c r="D27" s="52"/>
      <c r="E27" s="52"/>
      <c r="F27" s="52"/>
    </row>
  </sheetData>
  <mergeCells count="19">
    <mergeCell ref="B23:F24"/>
    <mergeCell ref="B26:F27"/>
    <mergeCell ref="I1:M1"/>
    <mergeCell ref="J3:R7"/>
    <mergeCell ref="A10:A11"/>
    <mergeCell ref="A13:A14"/>
    <mergeCell ref="A20:A21"/>
    <mergeCell ref="A23:A24"/>
    <mergeCell ref="A26:A27"/>
    <mergeCell ref="B10:F11"/>
    <mergeCell ref="B13:F14"/>
    <mergeCell ref="B16:F16"/>
    <mergeCell ref="A18:E18"/>
    <mergeCell ref="B20:F21"/>
    <mergeCell ref="A2:D4"/>
    <mergeCell ref="A1:D1"/>
    <mergeCell ref="B8:F8"/>
    <mergeCell ref="A6:F6"/>
    <mergeCell ref="A7:F7"/>
  </mergeCells>
  <pageMargins left="0.7" right="0.7" top="0.75" bottom="0.75" header="0.3" footer="0.3"/>
  <pageSetup scale="5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ADED90-6CC7-4422-8F3A-F4723C463F5A}">
  <sheetPr>
    <pageSetUpPr fitToPage="1"/>
  </sheetPr>
  <dimension ref="I4:J17"/>
  <sheetViews>
    <sheetView workbookViewId="0">
      <selection activeCell="M13" sqref="M13"/>
    </sheetView>
  </sheetViews>
  <sheetFormatPr defaultRowHeight="14.4" x14ac:dyDescent="0.3"/>
  <sheetData>
    <row r="4" spans="9:10" ht="33.6" x14ac:dyDescent="0.65">
      <c r="I4" s="62" t="s">
        <v>83</v>
      </c>
    </row>
    <row r="6" spans="9:10" x14ac:dyDescent="0.3">
      <c r="I6" t="s">
        <v>84</v>
      </c>
    </row>
    <row r="7" spans="9:10" x14ac:dyDescent="0.3">
      <c r="I7" t="s">
        <v>85</v>
      </c>
    </row>
    <row r="9" spans="9:10" x14ac:dyDescent="0.3">
      <c r="I9" t="s">
        <v>86</v>
      </c>
    </row>
    <row r="10" spans="9:10" x14ac:dyDescent="0.3">
      <c r="I10" t="s">
        <v>87</v>
      </c>
    </row>
    <row r="12" spans="9:10" x14ac:dyDescent="0.3">
      <c r="I12" t="s">
        <v>89</v>
      </c>
      <c r="J12" t="s">
        <v>88</v>
      </c>
    </row>
    <row r="13" spans="9:10" x14ac:dyDescent="0.3">
      <c r="I13" t="s">
        <v>90</v>
      </c>
    </row>
    <row r="16" spans="9:10" x14ac:dyDescent="0.3">
      <c r="I16" t="s">
        <v>91</v>
      </c>
    </row>
    <row r="17" spans="9:9" x14ac:dyDescent="0.3">
      <c r="I17" t="s">
        <v>92</v>
      </c>
    </row>
  </sheetData>
  <pageMargins left="0.7" right="0.7" top="0.75" bottom="0.75" header="0.3" footer="0.3"/>
  <pageSetup scale="67"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Assumptions</vt:lpstr>
      <vt:lpstr>Forecast</vt:lpstr>
      <vt:lpstr>Discounted Cash Flow Valuation</vt:lpstr>
      <vt:lpstr>Sensitivity Analysis</vt:lpstr>
      <vt:lpstr>Investment Summary</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varun</dc:creator>
  <cp:lastModifiedBy>varun</cp:lastModifiedBy>
  <cp:lastPrinted>2026-07-27T19:13:03Z</cp:lastPrinted>
  <dcterms:created xsi:type="dcterms:W3CDTF">2026-07-27T15:54:04Z</dcterms:created>
  <dcterms:modified xsi:type="dcterms:W3CDTF">2026-07-27T19:13:30Z</dcterms:modified>
</cp:coreProperties>
</file>